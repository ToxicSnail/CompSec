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<sst xmlns="http://schemas.openxmlformats.org/spreadsheetml/2006/main" count="30" uniqueCount="30">
  <si>
    <t xml:space="preserve">Количество ПЭ</t>
  </si>
  <si>
    <r>
      <rPr>
        <sz val="12"/>
        <color theme="1"/>
        <rFont val="Times New Roman"/>
        <family val="1"/>
        <charset val="204"/>
      </rPr>
      <t xml:space="preserve">S</t>
    </r>
    <r>
      <rPr>
        <vertAlign val="subscript"/>
        <sz val="12"/>
        <color theme="1"/>
        <rFont val="Times New Roman"/>
        <family val="1"/>
        <charset val="204"/>
      </rPr>
      <t xml:space="preserve">p</t>
    </r>
  </si>
  <si>
    <r>
      <rPr>
        <sz val="12"/>
        <color theme="1"/>
        <rFont val="Times New Roman"/>
        <family val="1"/>
        <charset val="204"/>
      </rPr>
      <t xml:space="preserve">E</t>
    </r>
    <r>
      <rPr>
        <vertAlign val="subscript"/>
        <sz val="12"/>
        <color theme="1"/>
        <rFont val="Times New Roman"/>
        <family val="1"/>
        <charset val="204"/>
      </rPr>
      <t xml:space="preserve">p</t>
    </r>
  </si>
  <si>
    <t xml:space="preserve">S1</t>
  </si>
  <si>
    <t xml:space="preserve">S2</t>
  </si>
  <si>
    <t xml:space="preserve">Sp = T1 / Tp</t>
  </si>
  <si>
    <t xml:space="preserve">S3</t>
  </si>
  <si>
    <t xml:space="preserve">Ep = Sp / p</t>
  </si>
  <si>
    <t xml:space="preserve">S4</t>
  </si>
  <si>
    <t xml:space="preserve">S5</t>
  </si>
  <si>
    <t xml:space="preserve">S6</t>
  </si>
  <si>
    <t xml:space="preserve">S7</t>
  </si>
  <si>
    <t xml:space="preserve">S8</t>
  </si>
  <si>
    <t xml:space="preserve">S9</t>
  </si>
  <si>
    <t xml:space="preserve">S10</t>
  </si>
  <si>
    <t xml:space="preserve">S11</t>
  </si>
  <si>
    <t xml:space="preserve">S12</t>
  </si>
  <si>
    <t xml:space="preserve">S13</t>
  </si>
  <si>
    <t xml:space="preserve">S14</t>
  </si>
  <si>
    <t xml:space="preserve">S15</t>
  </si>
  <si>
    <t xml:space="preserve">S16</t>
  </si>
  <si>
    <t xml:space="preserve">S17</t>
  </si>
  <si>
    <t xml:space="preserve">S18</t>
  </si>
  <si>
    <t xml:space="preserve">S19</t>
  </si>
  <si>
    <t xml:space="preserve">S20</t>
  </si>
  <si>
    <t xml:space="preserve">S21</t>
  </si>
  <si>
    <t xml:space="preserve">S22</t>
  </si>
  <si>
    <t xml:space="preserve">S23</t>
  </si>
  <si>
    <t xml:space="preserve">S24</t>
  </si>
  <si>
    <t xml:space="preserve">S25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</si>
</sst>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00"/>
  </numFmts>
  <fonts count="9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Times New Roman"/>
      <family val="1"/>
      <charset val="204"/>
    </font>
    <font>
      <vertAlign val="subscript"/>
      <sz val="12"/>
      <color theme="1"/>
      <name val="Times New Roman"/>
      <family val="1"/>
      <charset val="204"/>
    </font>
    <font>
      <sz val="11"/>
      <color theme="1"/>
      <name val="Calibri"/>
      <family val="2"/>
      <charset val="1"/>
    </font>
    <font>
      <sz val="14"/>
      <color rgb="FF595959"/>
      <name val="Calibri"/>
      <family val="2"/>
    </font>
    <font>
      <sz val="9"/>
      <color rgb="FF595959"/>
      <name val="Calibri"/>
      <family val="2"/>
    </font>
  </fonts>
  <fills count="2">
    <fill>
      <patternFill patternType="none"/>
    </fill>
    <fill>
      <patternFill patternType="gray125"/>
    </fill>
  </fills>
  <borders count="9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0" fillId="0" borderId="0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0" fillId="0" borderId="6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7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0" fillId="0" borderId="7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0" fillId="0" borderId="8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D7D31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ru-RU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lang="ru-RU" sz="1400" spc="-1" strike="noStrike">
                <a:solidFill>
                  <a:srgbClr val="595959"/>
                </a:solidFill>
                <a:latin typeface="Calibri"/>
              </a:rPr>
              <a:t>Оценка ускорения (Sp 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Лист1!$A$3</c:f>
              <c:strCache>
                <c:ptCount val="1"/>
                <c:pt idx="0">
                  <c:v>Sp</c:v>
                </c:pt>
              </c:strCache>
            </c:strRef>
          </c:tx>
          <c:spPr>
            <a:solidFill>
              <a:srgbClr val="ed7d31"/>
            </a:solidFill>
            <a:ln cap="rnd" w="2844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Лист1!$B$1:$Z$2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</c:lvl>
                <c:lvl>
                  <c:pt idx="0">
                    <c:v>Количество ПЭ</c:v>
                  </c:pt>
                </c:lvl>
              </c:multiLvlStrCache>
            </c:multiLvlStrRef>
          </c:cat>
          <c:val>
            <c:numRef>
              <c:f>Лист1!$B$3:$Z$3</c:f>
              <c:numCache>
                <c:formatCode>General</c:formatCode>
                <c:ptCount val="25"/>
                <c:pt idx="0">
                  <c:v>1</c:v>
                </c:pt>
                <c:pt idx="1">
                  <c:v>1.64831526672719</c:v>
                </c:pt>
                <c:pt idx="2">
                  <c:v>2.10029257671634</c:v>
                </c:pt>
                <c:pt idx="3">
                  <c:v>2.50186415950721</c:v>
                </c:pt>
                <c:pt idx="4">
                  <c:v>3.08002394731591</c:v>
                </c:pt>
                <c:pt idx="5">
                  <c:v>3.81651829871414</c:v>
                </c:pt>
                <c:pt idx="6">
                  <c:v>3.07327757865392</c:v>
                </c:pt>
                <c:pt idx="7">
                  <c:v>3.1643259866735</c:v>
                </c:pt>
                <c:pt idx="8">
                  <c:v>3.49818676337262</c:v>
                </c:pt>
                <c:pt idx="9">
                  <c:v>3.38390703793028</c:v>
                </c:pt>
                <c:pt idx="10">
                  <c:v>3.82645345233668</c:v>
                </c:pt>
                <c:pt idx="11">
                  <c:v>3.49779036827196</c:v>
                </c:pt>
                <c:pt idx="12">
                  <c:v>2.97293653086776</c:v>
                </c:pt>
                <c:pt idx="13">
                  <c:v>2.82907157914032</c:v>
                </c:pt>
                <c:pt idx="14">
                  <c:v>2.61837305963186</c:v>
                </c:pt>
                <c:pt idx="15">
                  <c:v>4.80809968847352</c:v>
                </c:pt>
                <c:pt idx="16">
                  <c:v>2.03749174917492</c:v>
                </c:pt>
                <c:pt idx="17">
                  <c:v>2.20769560863968</c:v>
                </c:pt>
                <c:pt idx="18">
                  <c:v>2.25034628563097</c:v>
                </c:pt>
                <c:pt idx="19">
                  <c:v>2.26404576793311</c:v>
                </c:pt>
                <c:pt idx="20">
                  <c:v>2.25165949376322</c:v>
                </c:pt>
                <c:pt idx="21">
                  <c:v>2.02253964093828</c:v>
                </c:pt>
                <c:pt idx="22">
                  <c:v>2.09758086436532</c:v>
                </c:pt>
                <c:pt idx="23">
                  <c:v>1.8064138576779</c:v>
                </c:pt>
                <c:pt idx="24">
                  <c:v>1.38645346748114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0133562"/>
        <c:axId val="20011330"/>
      </c:lineChart>
      <c:catAx>
        <c:axId val="4013356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20011330"/>
        <c:crosses val="autoZero"/>
        <c:auto val="1"/>
        <c:lblAlgn val="ctr"/>
        <c:lblOffset val="100"/>
        <c:noMultiLvlLbl val="0"/>
      </c:catAx>
      <c:valAx>
        <c:axId val="20011330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4013356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ru-RU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lang="ru-RU" sz="1400" spc="-1" strike="noStrike">
                <a:solidFill>
                  <a:srgbClr val="595959"/>
                </a:solidFill>
                <a:latin typeface="Calibri"/>
              </a:rPr>
              <a:t>Оценка эффективности (Ep 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Лист1!$A$4</c:f>
              <c:strCache>
                <c:ptCount val="1"/>
                <c:pt idx="0">
                  <c:v>Ep</c:v>
                </c:pt>
              </c:strCache>
            </c:strRef>
          </c:tx>
          <c:spPr>
            <a:solidFill>
              <a:srgbClr val="ed7d31"/>
            </a:solidFill>
            <a:ln cap="rnd" w="2844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t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Лист1!$B$1:$Z$2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</c:lvl>
                <c:lvl>
                  <c:pt idx="0">
                    <c:v>Количество ПЭ</c:v>
                  </c:pt>
                </c:lvl>
              </c:multiLvlStrCache>
            </c:multiLvlStrRef>
          </c:cat>
          <c:val>
            <c:numRef>
              <c:f>Лист1!$B$4:$Z$4</c:f>
              <c:numCache>
                <c:formatCode>General</c:formatCode>
                <c:ptCount val="25"/>
                <c:pt idx="0">
                  <c:v>1</c:v>
                </c:pt>
                <c:pt idx="1">
                  <c:v>0.824157633363593</c:v>
                </c:pt>
                <c:pt idx="2">
                  <c:v>0.700097525572112</c:v>
                </c:pt>
                <c:pt idx="3">
                  <c:v>0.625466039876803</c:v>
                </c:pt>
                <c:pt idx="4">
                  <c:v>0.616004789463181</c:v>
                </c:pt>
                <c:pt idx="5">
                  <c:v>0.636086383119024</c:v>
                </c:pt>
                <c:pt idx="6">
                  <c:v>0.439039654093418</c:v>
                </c:pt>
                <c:pt idx="7">
                  <c:v>0.395540748334188</c:v>
                </c:pt>
                <c:pt idx="8">
                  <c:v>0.388687418152513</c:v>
                </c:pt>
                <c:pt idx="9">
                  <c:v>0.338390703793028</c:v>
                </c:pt>
                <c:pt idx="10">
                  <c:v>0.34785940475788</c:v>
                </c:pt>
                <c:pt idx="11">
                  <c:v>0.29148253068933</c:v>
                </c:pt>
                <c:pt idx="12">
                  <c:v>0.228687425451367</c:v>
                </c:pt>
                <c:pt idx="13">
                  <c:v>0.202076541367166</c:v>
                </c:pt>
                <c:pt idx="14">
                  <c:v>0.174558203975457</c:v>
                </c:pt>
                <c:pt idx="15">
                  <c:v>0.300506230529595</c:v>
                </c:pt>
                <c:pt idx="16">
                  <c:v>0.119852455833819</c:v>
                </c:pt>
                <c:pt idx="17">
                  <c:v>0.122649756035538</c:v>
                </c:pt>
                <c:pt idx="18">
                  <c:v>0.118439278191104</c:v>
                </c:pt>
                <c:pt idx="19">
                  <c:v>0.113202288396655</c:v>
                </c:pt>
                <c:pt idx="20">
                  <c:v>0.107221880655391</c:v>
                </c:pt>
                <c:pt idx="21">
                  <c:v>0.091933620042649</c:v>
                </c:pt>
                <c:pt idx="22">
                  <c:v>0.0911991680158833</c:v>
                </c:pt>
                <c:pt idx="23">
                  <c:v>0.0752672440699126</c:v>
                </c:pt>
                <c:pt idx="24">
                  <c:v>0.0554581386992454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8221022"/>
        <c:axId val="62359968"/>
      </c:lineChart>
      <c:catAx>
        <c:axId val="1822102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62359968"/>
        <c:crosses val="autoZero"/>
        <c:auto val="1"/>
        <c:lblAlgn val="ctr"/>
        <c:lblOffset val="100"/>
        <c:noMultiLvlLbl val="0"/>
      </c:catAx>
      <c:valAx>
        <c:axId val="62359968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1822102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ru-RU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lang="ru-RU" sz="1400" spc="-1" strike="noStrike">
                <a:solidFill>
                  <a:srgbClr val="595959"/>
                </a:solidFill>
                <a:latin typeface="Calibri"/>
              </a:rPr>
              <a:t>Оценка ускорения (Sp 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Лист1!$A$3</c:f>
              <c:strCache>
                <c:ptCount val="1"/>
                <c:pt idx="0">
                  <c:v>Sp</c:v>
                </c:pt>
              </c:strCache>
            </c:strRef>
          </c:tx>
          <c:spPr>
            <a:solidFill>
              <a:srgbClr val="ed7d31"/>
            </a:solidFill>
            <a:ln cap="rnd" w="2844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Лист1!$B$1:$Z$2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</c:lvl>
                <c:lvl>
                  <c:pt idx="0">
                    <c:v>Количество ПЭ</c:v>
                  </c:pt>
                </c:lvl>
              </c:multiLvlStrCache>
            </c:multiLvlStrRef>
          </c:cat>
          <c:val>
            <c:numRef>
              <c:f>Лист1!$B$3:$Z$3</c:f>
              <c:numCache>
                <c:formatCode>General</c:formatCode>
                <c:ptCount val="25"/>
                <c:pt idx="0">
                  <c:v>1</c:v>
                </c:pt>
                <c:pt idx="1">
                  <c:v>1.64831526672719</c:v>
                </c:pt>
                <c:pt idx="2">
                  <c:v>2.10029257671634</c:v>
                </c:pt>
                <c:pt idx="3">
                  <c:v>2.50186415950721</c:v>
                </c:pt>
                <c:pt idx="4">
                  <c:v>3.08002394731591</c:v>
                </c:pt>
                <c:pt idx="5">
                  <c:v>3.81651829871414</c:v>
                </c:pt>
                <c:pt idx="6">
                  <c:v>3.07327757865392</c:v>
                </c:pt>
                <c:pt idx="7">
                  <c:v>3.1643259866735</c:v>
                </c:pt>
                <c:pt idx="8">
                  <c:v>3.49818676337262</c:v>
                </c:pt>
                <c:pt idx="9">
                  <c:v>3.38390703793028</c:v>
                </c:pt>
                <c:pt idx="10">
                  <c:v>3.82645345233668</c:v>
                </c:pt>
                <c:pt idx="11">
                  <c:v>3.49779036827196</c:v>
                </c:pt>
                <c:pt idx="12">
                  <c:v>2.97293653086776</c:v>
                </c:pt>
                <c:pt idx="13">
                  <c:v>2.82907157914032</c:v>
                </c:pt>
                <c:pt idx="14">
                  <c:v>2.61837305963186</c:v>
                </c:pt>
                <c:pt idx="15">
                  <c:v>4.80809968847352</c:v>
                </c:pt>
                <c:pt idx="16">
                  <c:v>2.03749174917492</c:v>
                </c:pt>
                <c:pt idx="17">
                  <c:v>2.20769560863968</c:v>
                </c:pt>
                <c:pt idx="18">
                  <c:v>2.25034628563097</c:v>
                </c:pt>
                <c:pt idx="19">
                  <c:v>2.26404576793311</c:v>
                </c:pt>
                <c:pt idx="20">
                  <c:v>2.25165949376322</c:v>
                </c:pt>
                <c:pt idx="21">
                  <c:v>2.02253964093828</c:v>
                </c:pt>
                <c:pt idx="22">
                  <c:v>2.09758086436532</c:v>
                </c:pt>
                <c:pt idx="23">
                  <c:v>1.8064138576779</c:v>
                </c:pt>
                <c:pt idx="24">
                  <c:v>1.38645346748114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5521554"/>
        <c:axId val="55645012"/>
      </c:lineChart>
      <c:catAx>
        <c:axId val="2552155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55645012"/>
        <c:crosses val="autoZero"/>
        <c:auto val="1"/>
        <c:lblAlgn val="ctr"/>
        <c:lblOffset val="100"/>
        <c:noMultiLvlLbl val="0"/>
      </c:catAx>
      <c:valAx>
        <c:axId val="55645012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2552155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588600</xdr:colOff>
      <xdr:row>5</xdr:row>
      <xdr:rowOff>9000</xdr:rowOff>
    </xdr:from>
    <xdr:to>
      <xdr:col>20</xdr:col>
      <xdr:colOff>222120</xdr:colOff>
      <xdr:row>24</xdr:row>
      <xdr:rowOff>23040</xdr:rowOff>
    </xdr:to>
    <xdr:graphicFrame>
      <xdr:nvGraphicFramePr>
        <xdr:cNvPr id="0" name="Диаграмма 3"/>
        <xdr:cNvGraphicFramePr/>
      </xdr:nvGraphicFramePr>
      <xdr:xfrm>
        <a:off x="7771680" y="914040"/>
        <a:ext cx="8003520" cy="3452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527040</xdr:colOff>
      <xdr:row>23</xdr:row>
      <xdr:rowOff>118800</xdr:rowOff>
    </xdr:from>
    <xdr:to>
      <xdr:col>12</xdr:col>
      <xdr:colOff>437040</xdr:colOff>
      <xdr:row>42</xdr:row>
      <xdr:rowOff>132120</xdr:rowOff>
    </xdr:to>
    <xdr:graphicFrame>
      <xdr:nvGraphicFramePr>
        <xdr:cNvPr id="1" name="Диаграмма 2"/>
        <xdr:cNvGraphicFramePr/>
      </xdr:nvGraphicFramePr>
      <xdr:xfrm>
        <a:off x="2411640" y="4281120"/>
        <a:ext cx="8053200" cy="34520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588600</xdr:colOff>
      <xdr:row>6</xdr:row>
      <xdr:rowOff>9000</xdr:rowOff>
    </xdr:from>
    <xdr:to>
      <xdr:col>20</xdr:col>
      <xdr:colOff>222120</xdr:colOff>
      <xdr:row>25</xdr:row>
      <xdr:rowOff>22680</xdr:rowOff>
    </xdr:to>
    <xdr:graphicFrame>
      <xdr:nvGraphicFramePr>
        <xdr:cNvPr id="2" name="Диаграмма 1"/>
        <xdr:cNvGraphicFramePr/>
      </xdr:nvGraphicFramePr>
      <xdr:xfrm>
        <a:off x="7771680" y="1094760"/>
        <a:ext cx="8003520" cy="3452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2" activeCellId="0" sqref="G12"/>
    </sheetView>
  </sheetViews>
  <sheetFormatPr defaultColWidth="8.59765625" defaultRowHeight="14.25" zeroHeight="false" outlineLevelRow="0" outlineLevelCol="0"/>
  <cols>
    <col collapsed="false" customWidth="true" hidden="false" outlineLevel="0" max="1" min="1" style="1" width="8.89"/>
    <col collapsed="false" customWidth="true" hidden="false" outlineLevel="0" max="2" min="2" style="2" width="14.67"/>
    <col collapsed="false" customWidth="true" hidden="false" outlineLevel="0" max="3" min="3" style="2" width="16"/>
    <col collapsed="false" customWidth="true" hidden="false" outlineLevel="0" max="4" min="4" style="2" width="14.67"/>
    <col collapsed="false" customWidth="true" hidden="false" outlineLevel="0" max="13" min="5" style="2" width="8.89"/>
  </cols>
  <sheetData>
    <row r="1" customFormat="false" ht="14.25" hidden="false" customHeight="false" outlineLevel="0" collapsed="false">
      <c r="A1" s="3"/>
      <c r="B1" s="4" t="s">
        <v>0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customFormat="false" ht="14.25" hidden="false" customHeight="false" outlineLevel="0" collapsed="false">
      <c r="A2" s="5"/>
      <c r="B2" s="6" t="n">
        <v>1</v>
      </c>
      <c r="C2" s="6" t="n">
        <v>2</v>
      </c>
      <c r="D2" s="6" t="n">
        <v>3</v>
      </c>
      <c r="E2" s="6" t="n">
        <v>4</v>
      </c>
      <c r="F2" s="6" t="n">
        <v>5</v>
      </c>
      <c r="G2" s="6" t="n">
        <v>6</v>
      </c>
      <c r="H2" s="6" t="n">
        <v>7</v>
      </c>
      <c r="I2" s="6" t="n">
        <v>8</v>
      </c>
      <c r="J2" s="6" t="n">
        <v>9</v>
      </c>
      <c r="K2" s="6" t="n">
        <v>10</v>
      </c>
      <c r="L2" s="6" t="n">
        <v>11</v>
      </c>
      <c r="M2" s="7" t="n">
        <v>12</v>
      </c>
      <c r="N2" s="7" t="n">
        <v>13</v>
      </c>
      <c r="O2" s="7" t="n">
        <v>14</v>
      </c>
      <c r="P2" s="7" t="n">
        <v>15</v>
      </c>
      <c r="Q2" s="7" t="n">
        <v>16</v>
      </c>
      <c r="R2" s="7" t="n">
        <v>17</v>
      </c>
      <c r="S2" s="7" t="n">
        <v>18</v>
      </c>
      <c r="T2" s="7" t="n">
        <v>19</v>
      </c>
      <c r="U2" s="7" t="n">
        <v>20</v>
      </c>
      <c r="V2" s="7" t="n">
        <v>21</v>
      </c>
      <c r="W2" s="7" t="n">
        <v>22</v>
      </c>
      <c r="X2" s="7" t="n">
        <v>23</v>
      </c>
      <c r="Y2" s="7" t="n">
        <v>24</v>
      </c>
      <c r="Z2" s="7" t="n">
        <v>25</v>
      </c>
    </row>
    <row r="3" customFormat="false" ht="14.25" hidden="false" customHeight="false" outlineLevel="0" collapsed="false">
      <c r="A3" s="8" t="s">
        <v>1</v>
      </c>
      <c r="B3" s="9" t="n">
        <f aca="false">B6/B6</f>
        <v>1</v>
      </c>
      <c r="C3" s="10" t="n">
        <f aca="false">B6/B7</f>
        <v>1.64831526672719</v>
      </c>
      <c r="D3" s="10" t="n">
        <f aca="false">B6/B8</f>
        <v>2.10029257671634</v>
      </c>
      <c r="E3" s="10" t="n">
        <f aca="false">B6/B9</f>
        <v>2.50186415950721</v>
      </c>
      <c r="F3" s="10" t="n">
        <f aca="false">B6/B10</f>
        <v>3.08002394731591</v>
      </c>
      <c r="G3" s="10" t="n">
        <f aca="false">B6/B11</f>
        <v>3.81651829871414</v>
      </c>
      <c r="H3" s="10" t="n">
        <f aca="false">B6/B12</f>
        <v>3.07327757865392</v>
      </c>
      <c r="I3" s="10" t="n">
        <f aca="false">B6/B13</f>
        <v>3.1643259866735</v>
      </c>
      <c r="J3" s="10" t="n">
        <f aca="false">B6/B14</f>
        <v>3.49818676337262</v>
      </c>
      <c r="K3" s="10" t="n">
        <f aca="false">B6/B15</f>
        <v>3.38390703793028</v>
      </c>
      <c r="L3" s="10" t="n">
        <f aca="false">B6/B16</f>
        <v>3.82645345233668</v>
      </c>
      <c r="M3" s="11" t="n">
        <f aca="false">B6/B17</f>
        <v>3.49779036827196</v>
      </c>
      <c r="N3" s="11" t="n">
        <f aca="false">B6/B18</f>
        <v>2.97293653086776</v>
      </c>
      <c r="O3" s="11" t="n">
        <f aca="false">B6/B19</f>
        <v>2.82907157914032</v>
      </c>
      <c r="P3" s="11" t="n">
        <f aca="false">B6/B20</f>
        <v>2.61837305963186</v>
      </c>
      <c r="Q3" s="11" t="n">
        <f aca="false">B6/B21</f>
        <v>4.80809968847352</v>
      </c>
      <c r="R3" s="11" t="n">
        <f aca="false">B6/B22</f>
        <v>2.03749174917492</v>
      </c>
      <c r="S3" s="11" t="n">
        <f aca="false">B6/B23</f>
        <v>2.20769560863968</v>
      </c>
      <c r="T3" s="11" t="n">
        <f aca="false">B6/B24</f>
        <v>2.25034628563097</v>
      </c>
      <c r="U3" s="11" t="n">
        <f aca="false">B6/B25</f>
        <v>2.26404576793311</v>
      </c>
      <c r="V3" s="11" t="n">
        <f aca="false">B6/B26</f>
        <v>2.25165949376322</v>
      </c>
      <c r="W3" s="11" t="n">
        <f aca="false">B6/B27</f>
        <v>2.02253964093828</v>
      </c>
      <c r="X3" s="11" t="n">
        <f aca="false">B6/B28</f>
        <v>2.09758086436532</v>
      </c>
      <c r="Y3" s="11" t="n">
        <f aca="false">B6/B29</f>
        <v>1.8064138576779</v>
      </c>
      <c r="Z3" s="11" t="n">
        <f aca="false">B6/B30</f>
        <v>1.38645346748114</v>
      </c>
    </row>
    <row r="4" customFormat="false" ht="14.25" hidden="false" customHeight="false" outlineLevel="0" collapsed="false">
      <c r="A4" s="12" t="s">
        <v>2</v>
      </c>
      <c r="B4" s="13" t="n">
        <f aca="false">B3/B2</f>
        <v>1</v>
      </c>
      <c r="C4" s="14" t="n">
        <f aca="false">C3/C2</f>
        <v>0.824157633363593</v>
      </c>
      <c r="D4" s="14" t="n">
        <f aca="false">D3/D2</f>
        <v>0.700097525572112</v>
      </c>
      <c r="E4" s="14" t="n">
        <f aca="false">E3/E2</f>
        <v>0.625466039876803</v>
      </c>
      <c r="F4" s="14" t="n">
        <f aca="false">F3/F2</f>
        <v>0.616004789463181</v>
      </c>
      <c r="G4" s="14" t="n">
        <f aca="false">G3/G2</f>
        <v>0.636086383119024</v>
      </c>
      <c r="H4" s="14" t="n">
        <f aca="false">H3/H2</f>
        <v>0.439039654093418</v>
      </c>
      <c r="I4" s="14" t="n">
        <f aca="false">I3/I2</f>
        <v>0.395540748334188</v>
      </c>
      <c r="J4" s="14" t="n">
        <f aca="false">J3/J2</f>
        <v>0.388687418152513</v>
      </c>
      <c r="K4" s="14" t="n">
        <f aca="false">K3/K2</f>
        <v>0.338390703793028</v>
      </c>
      <c r="L4" s="14" t="n">
        <f aca="false">L3/L2</f>
        <v>0.34785940475788</v>
      </c>
      <c r="M4" s="15" t="n">
        <f aca="false">M3/M2</f>
        <v>0.29148253068933</v>
      </c>
      <c r="N4" s="15" t="n">
        <f aca="false">N3/N2</f>
        <v>0.228687425451367</v>
      </c>
      <c r="O4" s="15" t="n">
        <f aca="false">O3/O2</f>
        <v>0.202076541367166</v>
      </c>
      <c r="P4" s="15" t="n">
        <f aca="false">P3/P2</f>
        <v>0.174558203975457</v>
      </c>
      <c r="Q4" s="15" t="n">
        <f aca="false">Q3/Q2</f>
        <v>0.300506230529595</v>
      </c>
      <c r="R4" s="15" t="n">
        <f aca="false">R3/R2</f>
        <v>0.119852455833819</v>
      </c>
      <c r="S4" s="15" t="n">
        <f aca="false">S3/S2</f>
        <v>0.122649756035538</v>
      </c>
      <c r="T4" s="15" t="n">
        <f aca="false">T3/T2</f>
        <v>0.118439278191104</v>
      </c>
      <c r="U4" s="15" t="n">
        <f aca="false">U3/U2</f>
        <v>0.113202288396655</v>
      </c>
      <c r="V4" s="15" t="n">
        <f aca="false">V3/V2</f>
        <v>0.107221880655391</v>
      </c>
      <c r="W4" s="15" t="n">
        <f aca="false">W3/W2</f>
        <v>0.091933620042649</v>
      </c>
      <c r="X4" s="15" t="n">
        <f aca="false">X3/X2</f>
        <v>0.0911991680158833</v>
      </c>
      <c r="Y4" s="15" t="n">
        <f aca="false">Y3/Y2</f>
        <v>0.0752672440699126</v>
      </c>
      <c r="Z4" s="15" t="n">
        <f aca="false">Z3/Z2</f>
        <v>0.0554581386992454</v>
      </c>
    </row>
    <row r="6" customFormat="false" ht="14.25" hidden="false" customHeight="false" outlineLevel="0" collapsed="false">
      <c r="A6" s="1" t="s">
        <v>3</v>
      </c>
      <c r="B6" s="2" t="n">
        <v>0.030868</v>
      </c>
      <c r="D6" s="16"/>
      <c r="E6" s="16"/>
      <c r="G6" s="16"/>
      <c r="M6" s="16"/>
    </row>
    <row r="7" customFormat="false" ht="14.25" hidden="false" customHeight="false" outlineLevel="0" collapsed="false">
      <c r="A7" s="1" t="s">
        <v>4</v>
      </c>
      <c r="B7" s="2" t="n">
        <v>0.018727</v>
      </c>
      <c r="E7" s="2" t="s">
        <v>5</v>
      </c>
      <c r="G7" s="16"/>
      <c r="M7" s="16"/>
    </row>
    <row r="8" customFormat="false" ht="14.25" hidden="false" customHeight="false" outlineLevel="0" collapsed="false">
      <c r="A8" s="1" t="s">
        <v>6</v>
      </c>
      <c r="B8" s="2" t="n">
        <v>0.014697</v>
      </c>
      <c r="E8" s="2" t="s">
        <v>7</v>
      </c>
    </row>
    <row r="9" customFormat="false" ht="14.25" hidden="false" customHeight="false" outlineLevel="0" collapsed="false">
      <c r="A9" s="1" t="s">
        <v>8</v>
      </c>
      <c r="B9" s="2" t="n">
        <v>0.012338</v>
      </c>
    </row>
    <row r="10" customFormat="false" ht="14.25" hidden="false" customHeight="false" outlineLevel="0" collapsed="false">
      <c r="A10" s="1" t="s">
        <v>9</v>
      </c>
      <c r="B10" s="2" t="n">
        <v>0.010022</v>
      </c>
    </row>
    <row r="11" customFormat="false" ht="14.25" hidden="false" customHeight="false" outlineLevel="0" collapsed="false">
      <c r="A11" s="1" t="s">
        <v>10</v>
      </c>
      <c r="B11" s="2" t="n">
        <v>0.008088</v>
      </c>
    </row>
    <row r="12" customFormat="false" ht="14.25" hidden="false" customHeight="false" outlineLevel="0" collapsed="false">
      <c r="A12" s="1" t="s">
        <v>11</v>
      </c>
      <c r="B12" s="2" t="n">
        <v>0.010044</v>
      </c>
    </row>
    <row r="13" customFormat="false" ht="14.25" hidden="false" customHeight="false" outlineLevel="0" collapsed="false">
      <c r="A13" s="1" t="s">
        <v>12</v>
      </c>
      <c r="B13" s="17" t="n">
        <v>0.009755</v>
      </c>
    </row>
    <row r="14" customFormat="false" ht="14.25" hidden="false" customHeight="false" outlineLevel="0" collapsed="false">
      <c r="A14" s="1" t="s">
        <v>13</v>
      </c>
      <c r="B14" s="2" t="n">
        <v>0.008824</v>
      </c>
    </row>
    <row r="15" customFormat="false" ht="14.25" hidden="false" customHeight="false" outlineLevel="0" collapsed="false">
      <c r="A15" s="1" t="s">
        <v>14</v>
      </c>
      <c r="B15" s="2" t="n">
        <v>0.009122</v>
      </c>
    </row>
    <row r="16" customFormat="false" ht="14.25" hidden="false" customHeight="false" outlineLevel="0" collapsed="false">
      <c r="A16" s="1" t="s">
        <v>15</v>
      </c>
      <c r="B16" s="2" t="n">
        <v>0.008067</v>
      </c>
    </row>
    <row r="17" customFormat="false" ht="14.25" hidden="false" customHeight="false" outlineLevel="0" collapsed="false">
      <c r="A17" s="1" t="s">
        <v>16</v>
      </c>
      <c r="B17" s="2" t="n">
        <v>0.008825</v>
      </c>
    </row>
    <row r="18" customFormat="false" ht="14.25" hidden="false" customHeight="false" outlineLevel="0" collapsed="false">
      <c r="A18" s="1" t="s">
        <v>17</v>
      </c>
      <c r="B18" s="2" t="n">
        <v>0.010383</v>
      </c>
    </row>
    <row r="19" customFormat="false" ht="14.25" hidden="false" customHeight="false" outlineLevel="0" collapsed="false">
      <c r="A19" s="1" t="s">
        <v>18</v>
      </c>
      <c r="B19" s="2" t="n">
        <v>0.010911</v>
      </c>
    </row>
    <row r="20" customFormat="false" ht="14.25" hidden="false" customHeight="false" outlineLevel="0" collapsed="false">
      <c r="A20" s="1" t="s">
        <v>19</v>
      </c>
      <c r="B20" s="2" t="n">
        <v>0.011789</v>
      </c>
    </row>
    <row r="21" customFormat="false" ht="14.25" hidden="false" customHeight="false" outlineLevel="0" collapsed="false">
      <c r="A21" s="1" t="s">
        <v>20</v>
      </c>
      <c r="B21" s="2" t="n">
        <v>0.00642</v>
      </c>
    </row>
    <row r="22" customFormat="false" ht="14.25" hidden="false" customHeight="false" outlineLevel="0" collapsed="false">
      <c r="A22" s="1" t="s">
        <v>21</v>
      </c>
      <c r="B22" s="2" t="n">
        <v>0.01515</v>
      </c>
    </row>
    <row r="23" customFormat="false" ht="14.25" hidden="false" customHeight="false" outlineLevel="0" collapsed="false">
      <c r="A23" s="1" t="s">
        <v>22</v>
      </c>
      <c r="B23" s="2" t="n">
        <v>0.013982</v>
      </c>
    </row>
    <row r="24" customFormat="false" ht="14.25" hidden="false" customHeight="false" outlineLevel="0" collapsed="false">
      <c r="A24" s="1" t="s">
        <v>23</v>
      </c>
      <c r="B24" s="2" t="n">
        <v>0.013717</v>
      </c>
    </row>
    <row r="25" customFormat="false" ht="14.25" hidden="false" customHeight="false" outlineLevel="0" collapsed="false">
      <c r="A25" s="1" t="s">
        <v>24</v>
      </c>
      <c r="B25" s="2" t="n">
        <v>0.013634</v>
      </c>
    </row>
    <row r="26" customFormat="false" ht="14.25" hidden="false" customHeight="false" outlineLevel="0" collapsed="false">
      <c r="A26" s="1" t="s">
        <v>25</v>
      </c>
      <c r="B26" s="2" t="n">
        <v>0.013709</v>
      </c>
    </row>
    <row r="27" customFormat="false" ht="14.25" hidden="false" customHeight="false" outlineLevel="0" collapsed="false">
      <c r="A27" s="1" t="s">
        <v>26</v>
      </c>
      <c r="B27" s="2" t="n">
        <v>0.015262</v>
      </c>
    </row>
    <row r="28" customFormat="false" ht="14.25" hidden="false" customHeight="false" outlineLevel="0" collapsed="false">
      <c r="A28" s="1" t="s">
        <v>27</v>
      </c>
      <c r="B28" s="2" t="n">
        <v>0.014716</v>
      </c>
    </row>
    <row r="29" customFormat="false" ht="14.25" hidden="false" customHeight="false" outlineLevel="0" collapsed="false">
      <c r="A29" s="1" t="s">
        <v>28</v>
      </c>
      <c r="B29" s="2" t="n">
        <v>0.017088</v>
      </c>
    </row>
    <row r="30" customFormat="false" ht="14.25" hidden="false" customHeight="false" outlineLevel="0" collapsed="false">
      <c r="A30" s="1" t="s">
        <v>29</v>
      </c>
      <c r="B30" s="2" t="n">
        <v>0.022264</v>
      </c>
    </row>
    <row r="1048576" customFormat="false" ht="12.8" hidden="false" customHeight="false" outlineLevel="0" collapsed="false"/>
  </sheetData>
  <mergeCells count="1">
    <mergeCell ref="B1:M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2025-03-26T10:59:46Z</dcterms:created>
  <dc:creator>Александр К</dc:creator>
  <dc:description/>
  <dc:language>en-US</dc:language>
  <cp:lastModifiedBy/>
  <dcterms:modified xsi:type="dcterms:W3CDTF">2025-05-06T20:36:19Z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